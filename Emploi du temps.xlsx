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n\Desktop\Dossiers\EPFL\BA2\"/>
    </mc:Choice>
  </mc:AlternateContent>
  <xr:revisionPtr revIDLastSave="0" documentId="13_ncr:1_{27CCF3D2-B9FF-4107-B82D-3E8594D9BA21}" xr6:coauthVersionLast="47" xr6:coauthVersionMax="47" xr10:uidLastSave="{00000000-0000-0000-0000-000000000000}"/>
  <bookViews>
    <workbookView xWindow="-110" yWindow="-110" windowWidth="25820" windowHeight="15500" activeTab="4" xr2:uid="{FC118514-611A-4C41-8D87-2DA3482F14D1}"/>
  </bookViews>
  <sheets>
    <sheet name="Emploi tu temps" sheetId="1" r:id="rId1"/>
    <sheet name="Séries" sheetId="4" r:id="rId2"/>
    <sheet name="Révisions a long terme" sheetId="2" r:id="rId3"/>
    <sheet name="Notes" sheetId="3" r:id="rId4"/>
    <sheet name="Planning révision" sheetId="5" r:id="rId5"/>
  </sheets>
  <definedNames>
    <definedName name="_xlnm.Print_Area" localSheetId="0">'Emploi tu temps'!$B$2:$I$32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H13" i="3"/>
  <c r="G9" i="3"/>
  <c r="G11" i="3"/>
  <c r="H2" i="3"/>
  <c r="F11" i="3"/>
  <c r="E11" i="3"/>
  <c r="D11" i="3"/>
  <c r="C11" i="3"/>
  <c r="B11" i="3"/>
  <c r="F4" i="3"/>
  <c r="E4" i="3"/>
  <c r="D4" i="3"/>
  <c r="C4" i="3"/>
  <c r="B4" i="3"/>
  <c r="H4" i="3" l="1"/>
  <c r="H15" i="3" l="1"/>
  <c r="H6" i="3"/>
</calcChain>
</file>

<file path=xl/sharedStrings.xml><?xml version="1.0" encoding="utf-8"?>
<sst xmlns="http://schemas.openxmlformats.org/spreadsheetml/2006/main" count="155" uniqueCount="125">
  <si>
    <t>Heure</t>
  </si>
  <si>
    <t>Lundi</t>
  </si>
  <si>
    <t>Mardi</t>
  </si>
  <si>
    <t>Mercredi</t>
  </si>
  <si>
    <t>Jeudi</t>
  </si>
  <si>
    <t>Vendredi</t>
  </si>
  <si>
    <t>12h - 13h</t>
  </si>
  <si>
    <t>15h - 16h</t>
  </si>
  <si>
    <t>13h -14h</t>
  </si>
  <si>
    <t>11h - 12h</t>
  </si>
  <si>
    <t>14h - 15h</t>
  </si>
  <si>
    <t>16h - 17h</t>
  </si>
  <si>
    <t>17h -  18h</t>
  </si>
  <si>
    <t>7h - 8h</t>
  </si>
  <si>
    <t>8h - 9h</t>
  </si>
  <si>
    <t>9h - 10h</t>
  </si>
  <si>
    <t>10h - 11h</t>
  </si>
  <si>
    <t>19h - 20h</t>
  </si>
  <si>
    <t>20h - 21h</t>
  </si>
  <si>
    <t>18h - 19h</t>
  </si>
  <si>
    <t xml:space="preserve"> 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</si>
  <si>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</si>
  <si>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</si>
  <si>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</si>
  <si>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</si>
  <si>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</si>
  <si>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</si>
  <si>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</si>
  <si>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</si>
  <si>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</si>
  <si>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</si>
  <si>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</si>
  <si>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</si>
  <si>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</si>
  <si>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</si>
  <si>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Matière</t>
  </si>
  <si>
    <t>Analyse 1</t>
  </si>
  <si>
    <t>Algebre 1</t>
  </si>
  <si>
    <t>Physique 1</t>
  </si>
  <si>
    <t>Analyse 2</t>
  </si>
  <si>
    <t>Algèbre 2</t>
  </si>
  <si>
    <t>Physique 2</t>
  </si>
  <si>
    <t>Coeff</t>
  </si>
  <si>
    <t>Note</t>
  </si>
  <si>
    <t>Note fois coeff</t>
  </si>
  <si>
    <t>Bloc 1:</t>
  </si>
  <si>
    <t>ICC</t>
  </si>
  <si>
    <t>Structures</t>
  </si>
  <si>
    <t>POO</t>
  </si>
  <si>
    <t>Discrete</t>
  </si>
  <si>
    <t>SHS</t>
  </si>
  <si>
    <t>Bloc 2:</t>
  </si>
  <si>
    <t>Moyenne G</t>
  </si>
  <si>
    <t>Révisions à long terme hobromadaires</t>
  </si>
  <si>
    <t>Analyse II - CM13</t>
  </si>
  <si>
    <t>Physique - CE11</t>
  </si>
  <si>
    <t>Analyse II - CM4</t>
  </si>
  <si>
    <t>Algère linéaire II - CE12</t>
  </si>
  <si>
    <t>Physique CE11</t>
  </si>
  <si>
    <t>Algèbre linéaire II - CM4</t>
  </si>
  <si>
    <t>Emploi du temps</t>
  </si>
  <si>
    <t>Deutsche Sprache</t>
  </si>
  <si>
    <t>Semaines</t>
  </si>
  <si>
    <t>Analyse 2 -2</t>
  </si>
  <si>
    <t>Analyse 2 -1</t>
  </si>
  <si>
    <t>Course à pied</t>
  </si>
  <si>
    <t xml:space="preserve">Samedi </t>
  </si>
  <si>
    <t>Dimanche</t>
  </si>
  <si>
    <t>Sortie Longue Vélo</t>
  </si>
  <si>
    <t>Préperation des Repas + Rangements</t>
  </si>
  <si>
    <t>DS</t>
  </si>
  <si>
    <t>Exam blanc</t>
  </si>
  <si>
    <t>Séries</t>
  </si>
  <si>
    <t>Séries refaites</t>
  </si>
  <si>
    <t>Analyse</t>
  </si>
  <si>
    <t>Physique</t>
  </si>
  <si>
    <t xml:space="preserve">Algèbre </t>
  </si>
  <si>
    <t>match</t>
  </si>
  <si>
    <t>analyse</t>
  </si>
  <si>
    <t>algèbre</t>
  </si>
  <si>
    <t>physique</t>
  </si>
  <si>
    <t>preuve et exercice</t>
  </si>
  <si>
    <t xml:space="preserve">Planning </t>
  </si>
  <si>
    <t>Algèbre linéaire</t>
  </si>
  <si>
    <t>chapitre</t>
  </si>
  <si>
    <t>exo</t>
  </si>
  <si>
    <t>thm</t>
  </si>
  <si>
    <t>intégrale généralisée</t>
  </si>
  <si>
    <t>Espace Rn</t>
  </si>
  <si>
    <t>Fonctions</t>
  </si>
  <si>
    <t>Dérivabilité</t>
  </si>
  <si>
    <t>Dérivation supérieurs</t>
  </si>
  <si>
    <t>intégrale paramètres</t>
  </si>
  <si>
    <t>Difféomorphisme</t>
  </si>
  <si>
    <t>Extrema</t>
  </si>
  <si>
    <t>Intégrale Riemann</t>
  </si>
  <si>
    <t>Equa diff</t>
  </si>
  <si>
    <t>Polynôme</t>
  </si>
  <si>
    <t>Valeurs propre</t>
  </si>
  <si>
    <t>Forme billinéaire</t>
  </si>
  <si>
    <t>Produit scalaire</t>
  </si>
  <si>
    <t>Théorème spectral</t>
  </si>
  <si>
    <t>équa diff</t>
  </si>
  <si>
    <t>Jordan</t>
  </si>
  <si>
    <t>Frobenius</t>
  </si>
  <si>
    <t>Notion base</t>
  </si>
  <si>
    <t>Fluide repos</t>
  </si>
  <si>
    <t>Dynamique fluide</t>
  </si>
  <si>
    <t>Ondes</t>
  </si>
  <si>
    <t>Ondes dans fluide</t>
  </si>
  <si>
    <t>Electrostatique</t>
  </si>
  <si>
    <t>circuit électrique</t>
  </si>
  <si>
    <t>magnétostatique</t>
  </si>
  <si>
    <t>Induction</t>
  </si>
  <si>
    <t>Maxwell</t>
  </si>
  <si>
    <t>exo*</t>
  </si>
  <si>
    <t>7</t>
  </si>
  <si>
    <t>6 12 19</t>
  </si>
  <si>
    <t>20 23 26</t>
  </si>
  <si>
    <t>7 12 17</t>
  </si>
  <si>
    <t>5</t>
  </si>
  <si>
    <t>3 6 10</t>
  </si>
  <si>
    <t xml:space="preserve">8 9 20 </t>
  </si>
  <si>
    <t>8 18</t>
  </si>
  <si>
    <t>7 9 10 24 28 46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</si>
</sst>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4"/>
      <color theme="1"/>
      <name val="Aptos Narrow"/>
      <scheme val="minor"/>
    </font>
    <font>
      <sz val="15"/>
      <color theme="1"/>
      <name val="Aptos Narrow"/>
      <scheme val="minor"/>
    </font>
    <font>
      <sz val="13"/>
      <color theme="1"/>
      <name val="Aptos Narrow"/>
      <scheme val="minor"/>
    </font>
    <font>
      <sz val="11"/>
      <color rgb="FF00B05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5" borderId="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6" borderId="36" xfId="0" applyFont="1" applyFill="1" applyBorder="1" applyAlignment="1">
      <alignment vertical="center" wrapText="1"/>
    </xf>
    <xf numFmtId="0" fontId="0" fillId="0" borderId="29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15" borderId="2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4" fontId="0" fillId="0" borderId="37" xfId="0" applyNumberFormat="1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 wrapText="1"/>
    </xf>
    <xf numFmtId="164" fontId="0" fillId="0" borderId="33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33" xfId="0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0" fontId="0" fillId="11" borderId="34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3" fillId="0" borderId="0" xfId="0" applyNumberFormat="1" applyFont="1"/>
    <xf numFmtId="0" fontId="0" fillId="19" borderId="0" xfId="0" applyFill="1"/>
    <xf numFmtId="0" fontId="0" fillId="20" borderId="0" xfId="0" applyFill="1"/>
    <xf numFmtId="0" fontId="0" fillId="8" borderId="0" xfId="0" applyFill="1"/>
    <xf numFmtId="0" fontId="0" fillId="21" borderId="0" xfId="0" applyFill="1"/>
    <xf numFmtId="0" fontId="0" fillId="15" borderId="6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18" borderId="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8" borderId="21" xfId="0" applyFont="1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0" xfId="0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22" xfId="0" applyBorder="1"/>
    <xf numFmtId="0" fontId="0" fillId="0" borderId="10" xfId="0" applyBorder="1"/>
    <xf numFmtId="0" fontId="0" fillId="0" borderId="20" xfId="0" applyBorder="1"/>
    <xf numFmtId="0" fontId="0" fillId="0" borderId="45" xfId="0" applyBorder="1"/>
    <xf numFmtId="0" fontId="0" fillId="0" borderId="25" xfId="0" applyBorder="1"/>
    <xf numFmtId="0" fontId="0" fillId="0" borderId="26" xfId="0" applyBorder="1"/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/>
    <xf numFmtId="49" fontId="0" fillId="0" borderId="27" xfId="0" applyNumberFormat="1" applyBorder="1"/>
    <xf numFmtId="49" fontId="0" fillId="0" borderId="45" xfId="0" applyNumberFormat="1" applyBorder="1"/>
    <xf numFmtId="49" fontId="0" fillId="0" borderId="25" xfId="0" applyNumberFormat="1" applyBorder="1"/>
    <xf numFmtId="49" fontId="0" fillId="0" borderId="26" xfId="0" applyNumberFormat="1" applyBorder="1"/>
    <xf numFmtId="49" fontId="0" fillId="0" borderId="10" xfId="0" applyNumberFormat="1" applyBorder="1"/>
    <xf numFmtId="49" fontId="0" fillId="0" borderId="6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49" fontId="0" fillId="0" borderId="2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3547-9859-48D3-9D0D-82A1A45BED28}">
  <dimension ref="B1:L32"/>
  <sheetViews>
    <sheetView view="pageBreakPreview" zoomScale="60" zoomScaleNormal="85" workbookViewId="0">
      <selection activeCell="K31" sqref="K31"/>
    </sheetView>
  </sheetViews>
  <sheetFormatPr baseColWidth="10" defaultColWidth="20.7265625" defaultRowHeight="15" customHeight="1" x14ac:dyDescent="0.35"/>
  <cols>
    <col min="1" max="16384" width="20.7265625" style="30"/>
  </cols>
  <sheetData>
    <row r="1" spans="2:12" ht="15" customHeight="1" thickBot="1" x14ac:dyDescent="0.4"/>
    <row r="2" spans="2:12" ht="15" customHeight="1" x14ac:dyDescent="0.35">
      <c r="B2" s="57" t="s">
        <v>60</v>
      </c>
      <c r="C2" s="58"/>
      <c r="D2" s="58"/>
      <c r="E2" s="58"/>
      <c r="F2" s="58"/>
      <c r="G2" s="58"/>
      <c r="H2" s="58"/>
      <c r="I2" s="59"/>
    </row>
    <row r="3" spans="2:12" ht="15" customHeight="1" thickBot="1" x14ac:dyDescent="0.4">
      <c r="B3" s="60"/>
      <c r="C3" s="61"/>
      <c r="D3" s="61"/>
      <c r="E3" s="61"/>
      <c r="F3" s="61"/>
      <c r="G3" s="61"/>
      <c r="H3" s="61"/>
      <c r="I3" s="62"/>
    </row>
    <row r="4" spans="2:12" ht="15" customHeight="1" thickBot="1" x14ac:dyDescent="0.4">
      <c r="B4" s="35" t="s">
        <v>0</v>
      </c>
      <c r="C4" s="36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66</v>
      </c>
      <c r="I4" s="37" t="s">
        <v>67</v>
      </c>
    </row>
    <row r="5" spans="2:12" ht="15" customHeight="1" x14ac:dyDescent="0.35">
      <c r="B5" s="88" t="s">
        <v>13</v>
      </c>
      <c r="C5" s="90"/>
      <c r="D5" s="90"/>
      <c r="E5" s="90"/>
      <c r="F5" s="90"/>
      <c r="G5" s="90"/>
      <c r="H5" s="90"/>
      <c r="I5" s="91"/>
    </row>
    <row r="6" spans="2:12" ht="15" customHeight="1" thickBot="1" x14ac:dyDescent="0.4">
      <c r="B6" s="89"/>
      <c r="C6" s="92"/>
      <c r="D6" s="92"/>
      <c r="E6" s="92"/>
      <c r="F6" s="92"/>
      <c r="G6" s="92"/>
      <c r="H6" s="92"/>
      <c r="I6" s="93"/>
    </row>
    <row r="7" spans="2:12" ht="15" customHeight="1" x14ac:dyDescent="0.35">
      <c r="B7" s="86" t="s">
        <v>14</v>
      </c>
      <c r="C7" s="33"/>
      <c r="D7" s="98"/>
      <c r="E7" s="123" t="s">
        <v>56</v>
      </c>
      <c r="F7" s="96" t="s">
        <v>65</v>
      </c>
      <c r="G7" s="96" t="s">
        <v>65</v>
      </c>
      <c r="H7" s="100"/>
      <c r="I7" s="64" t="s">
        <v>68</v>
      </c>
    </row>
    <row r="8" spans="2:12" ht="15" customHeight="1" thickBot="1" x14ac:dyDescent="0.4">
      <c r="B8" s="87"/>
      <c r="C8" s="33"/>
      <c r="D8" s="99"/>
      <c r="E8" s="123"/>
      <c r="F8" s="97"/>
      <c r="G8" s="97"/>
      <c r="H8" s="101"/>
      <c r="I8" s="64"/>
      <c r="K8" s="31"/>
      <c r="L8" s="32"/>
    </row>
    <row r="9" spans="2:12" ht="15" customHeight="1" x14ac:dyDescent="0.35">
      <c r="B9" s="86" t="s">
        <v>15</v>
      </c>
      <c r="C9" s="94" t="s">
        <v>65</v>
      </c>
      <c r="D9" s="96" t="s">
        <v>65</v>
      </c>
      <c r="E9" s="123"/>
      <c r="F9" s="74"/>
      <c r="G9" s="74"/>
      <c r="H9" s="101"/>
      <c r="I9" s="64"/>
    </row>
    <row r="10" spans="2:12" ht="15" customHeight="1" thickBot="1" x14ac:dyDescent="0.4">
      <c r="B10" s="87"/>
      <c r="C10" s="95"/>
      <c r="D10" s="97"/>
      <c r="E10" s="124"/>
      <c r="F10" s="75"/>
      <c r="G10" s="75"/>
      <c r="H10" s="101"/>
      <c r="I10" s="64"/>
    </row>
    <row r="11" spans="2:12" ht="15" customHeight="1" x14ac:dyDescent="0.35">
      <c r="B11" s="86" t="s">
        <v>16</v>
      </c>
      <c r="C11" s="109" t="s">
        <v>54</v>
      </c>
      <c r="D11" s="125" t="s">
        <v>55</v>
      </c>
      <c r="E11" s="74"/>
      <c r="F11" s="75"/>
      <c r="G11" s="75"/>
      <c r="H11" s="101"/>
      <c r="I11" s="64"/>
      <c r="K11" s="30" t="s">
        <v>20</v>
      </c>
    </row>
    <row r="12" spans="2:12" ht="15" customHeight="1" thickBot="1" x14ac:dyDescent="0.4">
      <c r="B12" s="87"/>
      <c r="C12" s="110"/>
      <c r="D12" s="126"/>
      <c r="E12" s="75"/>
      <c r="F12" s="75"/>
      <c r="G12" s="75"/>
      <c r="H12" s="101"/>
      <c r="I12" s="64"/>
    </row>
    <row r="13" spans="2:12" ht="15" customHeight="1" x14ac:dyDescent="0.35">
      <c r="B13" s="86" t="s">
        <v>9</v>
      </c>
      <c r="C13" s="110"/>
      <c r="D13" s="126"/>
      <c r="E13" s="75"/>
      <c r="F13" s="75"/>
      <c r="G13" s="75"/>
      <c r="H13" s="101"/>
      <c r="I13" s="64"/>
    </row>
    <row r="14" spans="2:12" ht="15" customHeight="1" thickBot="1" x14ac:dyDescent="0.4">
      <c r="B14" s="87"/>
      <c r="C14" s="111"/>
      <c r="D14" s="127"/>
      <c r="E14" s="76"/>
      <c r="F14" s="76"/>
      <c r="G14" s="76"/>
      <c r="H14" s="101"/>
      <c r="I14" s="65"/>
    </row>
    <row r="15" spans="2:12" ht="15" customHeight="1" x14ac:dyDescent="0.35">
      <c r="B15" s="86" t="s">
        <v>6</v>
      </c>
      <c r="C15" s="80"/>
      <c r="D15" s="81"/>
      <c r="E15" s="81"/>
      <c r="F15" s="81"/>
      <c r="G15" s="82"/>
      <c r="H15" s="101"/>
      <c r="I15" s="103"/>
    </row>
    <row r="16" spans="2:12" ht="15" customHeight="1" thickBot="1" x14ac:dyDescent="0.4">
      <c r="B16" s="87"/>
      <c r="C16" s="83"/>
      <c r="D16" s="84"/>
      <c r="E16" s="84"/>
      <c r="F16" s="84"/>
      <c r="G16" s="85"/>
      <c r="H16" s="101"/>
      <c r="I16" s="104"/>
    </row>
    <row r="17" spans="2:11" ht="15" customHeight="1" x14ac:dyDescent="0.35">
      <c r="B17" s="86" t="s">
        <v>8</v>
      </c>
      <c r="C17" s="72"/>
      <c r="D17" s="77" t="s">
        <v>59</v>
      </c>
      <c r="E17" s="74"/>
      <c r="F17" s="74"/>
      <c r="G17" s="74"/>
      <c r="H17" s="101"/>
      <c r="I17" s="63" t="s">
        <v>69</v>
      </c>
    </row>
    <row r="18" spans="2:11" ht="15" customHeight="1" thickBot="1" x14ac:dyDescent="0.4">
      <c r="B18" s="87"/>
      <c r="C18" s="73"/>
      <c r="D18" s="78"/>
      <c r="E18" s="76"/>
      <c r="F18" s="75"/>
      <c r="G18" s="75"/>
      <c r="H18" s="101"/>
      <c r="I18" s="64"/>
    </row>
    <row r="19" spans="2:11" ht="15" customHeight="1" x14ac:dyDescent="0.35">
      <c r="B19" s="86" t="s">
        <v>10</v>
      </c>
      <c r="C19" s="73"/>
      <c r="D19" s="120"/>
      <c r="E19" s="77" t="s">
        <v>57</v>
      </c>
      <c r="F19" s="75"/>
      <c r="G19" s="75"/>
      <c r="H19" s="101"/>
      <c r="I19" s="64"/>
    </row>
    <row r="20" spans="2:11" ht="15" customHeight="1" thickBot="1" x14ac:dyDescent="0.4">
      <c r="B20" s="87"/>
      <c r="C20" s="73"/>
      <c r="D20" s="120"/>
      <c r="E20" s="78"/>
      <c r="F20" s="75"/>
      <c r="G20" s="75"/>
      <c r="H20" s="101"/>
      <c r="I20" s="64"/>
    </row>
    <row r="21" spans="2:11" ht="15" customHeight="1" thickBot="1" x14ac:dyDescent="0.4">
      <c r="B21" s="86" t="s">
        <v>7</v>
      </c>
      <c r="C21" s="73"/>
      <c r="D21" s="121" t="s">
        <v>59</v>
      </c>
      <c r="E21" s="78"/>
      <c r="F21" s="75"/>
      <c r="G21" s="75"/>
      <c r="H21" s="101"/>
      <c r="I21" s="64"/>
      <c r="K21" s="34"/>
    </row>
    <row r="22" spans="2:11" ht="15" customHeight="1" thickBot="1" x14ac:dyDescent="0.4">
      <c r="B22" s="87"/>
      <c r="C22" s="73"/>
      <c r="D22" s="122"/>
      <c r="E22" s="79"/>
      <c r="F22" s="75"/>
      <c r="G22" s="75"/>
      <c r="H22" s="101"/>
      <c r="I22" s="64"/>
    </row>
    <row r="23" spans="2:11" ht="15" customHeight="1" x14ac:dyDescent="0.35">
      <c r="B23" s="86" t="s">
        <v>11</v>
      </c>
      <c r="C23" s="73"/>
      <c r="D23" s="70"/>
      <c r="E23" s="118" t="s">
        <v>58</v>
      </c>
      <c r="F23" s="75"/>
      <c r="G23" s="75"/>
      <c r="H23" s="101"/>
      <c r="I23" s="64"/>
    </row>
    <row r="24" spans="2:11" ht="15" customHeight="1" thickBot="1" x14ac:dyDescent="0.4">
      <c r="B24" s="87"/>
      <c r="C24" s="73"/>
      <c r="D24" s="71"/>
      <c r="E24" s="119"/>
      <c r="F24" s="75"/>
      <c r="G24" s="75"/>
      <c r="H24" s="101"/>
      <c r="I24" s="64"/>
    </row>
    <row r="25" spans="2:11" ht="15" customHeight="1" x14ac:dyDescent="0.35">
      <c r="B25" s="86" t="s">
        <v>12</v>
      </c>
      <c r="C25" s="73"/>
      <c r="D25" s="71"/>
      <c r="E25" s="70"/>
      <c r="F25" s="75"/>
      <c r="G25" s="75"/>
      <c r="H25" s="101"/>
      <c r="I25" s="64"/>
    </row>
    <row r="26" spans="2:11" ht="15" customHeight="1" thickBot="1" x14ac:dyDescent="0.4">
      <c r="B26" s="87"/>
      <c r="C26" s="73"/>
      <c r="D26" s="71"/>
      <c r="E26" s="71"/>
      <c r="F26" s="75"/>
      <c r="G26" s="75"/>
      <c r="H26" s="101"/>
      <c r="I26" s="65"/>
    </row>
    <row r="27" spans="2:11" ht="15" customHeight="1" x14ac:dyDescent="0.35">
      <c r="B27" s="88" t="s">
        <v>19</v>
      </c>
      <c r="C27" s="105" t="s">
        <v>61</v>
      </c>
      <c r="D27" s="105"/>
      <c r="E27" s="105"/>
      <c r="F27" s="105"/>
      <c r="G27" s="106"/>
      <c r="H27" s="101"/>
      <c r="I27" s="116" t="s">
        <v>70</v>
      </c>
    </row>
    <row r="28" spans="2:11" ht="15" customHeight="1" thickBot="1" x14ac:dyDescent="0.4">
      <c r="B28" s="89"/>
      <c r="C28" s="107"/>
      <c r="D28" s="107"/>
      <c r="E28" s="107"/>
      <c r="F28" s="107"/>
      <c r="G28" s="108"/>
      <c r="H28" s="101"/>
      <c r="I28" s="117"/>
    </row>
    <row r="29" spans="2:11" ht="15" customHeight="1" x14ac:dyDescent="0.35">
      <c r="B29" s="88" t="s">
        <v>17</v>
      </c>
      <c r="C29" s="66"/>
      <c r="D29" s="66"/>
      <c r="E29" s="66"/>
      <c r="F29" s="66"/>
      <c r="G29" s="67"/>
      <c r="H29" s="101"/>
      <c r="I29" s="28"/>
    </row>
    <row r="30" spans="2:11" ht="15" customHeight="1" thickBot="1" x14ac:dyDescent="0.4">
      <c r="B30" s="89"/>
      <c r="C30" s="68"/>
      <c r="D30" s="68"/>
      <c r="E30" s="68"/>
      <c r="F30" s="68"/>
      <c r="G30" s="69"/>
      <c r="H30" s="102"/>
      <c r="I30" s="29"/>
    </row>
    <row r="31" spans="2:11" ht="15" customHeight="1" x14ac:dyDescent="0.35">
      <c r="B31" s="63" t="s">
        <v>18</v>
      </c>
      <c r="C31" s="112"/>
      <c r="D31" s="112"/>
      <c r="E31" s="112"/>
      <c r="F31" s="112"/>
      <c r="G31" s="112"/>
      <c r="H31" s="112"/>
      <c r="I31" s="113"/>
    </row>
    <row r="32" spans="2:11" ht="15" customHeight="1" thickBot="1" x14ac:dyDescent="0.4">
      <c r="B32" s="65"/>
      <c r="C32" s="114"/>
      <c r="D32" s="114"/>
      <c r="E32" s="114"/>
      <c r="F32" s="114"/>
      <c r="G32" s="114"/>
      <c r="H32" s="114"/>
      <c r="I32" s="115"/>
    </row>
  </sheetData>
  <mergeCells count="46">
    <mergeCell ref="B31:B32"/>
    <mergeCell ref="B25:B26"/>
    <mergeCell ref="C11:C14"/>
    <mergeCell ref="B17:B18"/>
    <mergeCell ref="C31:I32"/>
    <mergeCell ref="G9:G14"/>
    <mergeCell ref="I27:I28"/>
    <mergeCell ref="E23:E24"/>
    <mergeCell ref="E17:E18"/>
    <mergeCell ref="D17:D20"/>
    <mergeCell ref="D21:D22"/>
    <mergeCell ref="E7:E10"/>
    <mergeCell ref="D11:D14"/>
    <mergeCell ref="B11:B12"/>
    <mergeCell ref="B13:B14"/>
    <mergeCell ref="C5:I6"/>
    <mergeCell ref="C9:C10"/>
    <mergeCell ref="D9:D10"/>
    <mergeCell ref="B7:B8"/>
    <mergeCell ref="B9:B10"/>
    <mergeCell ref="D7:D8"/>
    <mergeCell ref="H7:H30"/>
    <mergeCell ref="I7:I14"/>
    <mergeCell ref="I15:I16"/>
    <mergeCell ref="F7:F8"/>
    <mergeCell ref="G7:G8"/>
    <mergeCell ref="F9:F14"/>
    <mergeCell ref="C27:G28"/>
    <mergeCell ref="B27:B28"/>
    <mergeCell ref="B29:B30"/>
    <mergeCell ref="B2:I3"/>
    <mergeCell ref="I17:I26"/>
    <mergeCell ref="C29:G30"/>
    <mergeCell ref="D23:D26"/>
    <mergeCell ref="E25:E26"/>
    <mergeCell ref="C17:C26"/>
    <mergeCell ref="F17:F26"/>
    <mergeCell ref="G17:G26"/>
    <mergeCell ref="E11:E14"/>
    <mergeCell ref="E19:E22"/>
    <mergeCell ref="C15:G16"/>
    <mergeCell ref="B19:B20"/>
    <mergeCell ref="B23:B24"/>
    <mergeCell ref="B15:B16"/>
    <mergeCell ref="B21:B22"/>
    <mergeCell ref="B5:B6"/>
  </mergeCells>
  <phoneticPr fontId="2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DCAD-6C57-475E-A0BD-9133A1F72065}">
  <dimension ref="B1:R18"/>
  <sheetViews>
    <sheetView zoomScale="131" workbookViewId="0">
      <selection activeCell="G26" sqref="G26"/>
    </sheetView>
  </sheetViews>
  <sheetFormatPr baseColWidth="10" defaultRowHeight="14.5" x14ac:dyDescent="0.35"/>
  <cols>
    <col min="9" max="9" width="13.7265625" customWidth="1"/>
    <col min="10" max="10" width="13.81640625" customWidth="1"/>
  </cols>
  <sheetData>
    <row r="1" spans="2:18" ht="15" thickBot="1" x14ac:dyDescent="0.4"/>
    <row r="2" spans="2:18" x14ac:dyDescent="0.35">
      <c r="B2" s="51" t="s">
        <v>72</v>
      </c>
      <c r="C2" s="52"/>
      <c r="D2" s="52"/>
      <c r="E2" s="52"/>
      <c r="F2" s="53"/>
      <c r="H2" s="51" t="s">
        <v>73</v>
      </c>
      <c r="I2" s="52"/>
      <c r="J2" s="52"/>
      <c r="K2" s="52"/>
      <c r="L2" s="53"/>
      <c r="M2" s="5"/>
      <c r="N2" s="5"/>
      <c r="P2" s="5"/>
      <c r="Q2" s="5"/>
      <c r="R2" s="5"/>
    </row>
    <row r="3" spans="2:18" ht="15" thickBot="1" x14ac:dyDescent="0.4">
      <c r="B3" s="54"/>
      <c r="C3" s="55"/>
      <c r="D3" s="55"/>
      <c r="E3" s="55"/>
      <c r="F3" s="56"/>
      <c r="H3" s="54"/>
      <c r="I3" s="55"/>
      <c r="J3" s="55"/>
      <c r="K3" s="55"/>
      <c r="L3" s="56"/>
      <c r="M3" s="44"/>
      <c r="N3" s="45"/>
      <c r="P3" s="50"/>
      <c r="Q3" s="44"/>
      <c r="R3" s="45"/>
    </row>
    <row r="4" spans="2:18" ht="15" thickBot="1" x14ac:dyDescent="0.4">
      <c r="B4" s="12" t="s">
        <v>62</v>
      </c>
      <c r="C4" s="13" t="s">
        <v>64</v>
      </c>
      <c r="D4" s="11" t="s">
        <v>63</v>
      </c>
      <c r="E4" s="14" t="s">
        <v>40</v>
      </c>
      <c r="F4" s="15" t="s">
        <v>41</v>
      </c>
      <c r="H4" s="12" t="s">
        <v>62</v>
      </c>
      <c r="I4" s="13" t="s">
        <v>64</v>
      </c>
      <c r="J4" s="11" t="s">
        <v>63</v>
      </c>
      <c r="K4" s="14" t="s">
        <v>40</v>
      </c>
      <c r="L4" s="15" t="s">
        <v>41</v>
      </c>
    </row>
    <row r="5" spans="2:18" x14ac:dyDescent="0.35">
      <c r="B5" s="16">
        <v>1</v>
      </c>
      <c r="C5" s="39"/>
      <c r="D5" s="24"/>
      <c r="E5" s="24"/>
      <c r="F5" s="40"/>
      <c r="H5" s="16">
        <v>1</v>
      </c>
      <c r="I5" s="47"/>
      <c r="J5" s="48"/>
      <c r="K5" s="48"/>
      <c r="L5" s="49"/>
    </row>
    <row r="6" spans="2:18" x14ac:dyDescent="0.35">
      <c r="B6" s="17">
        <v>2</v>
      </c>
      <c r="C6" s="25"/>
      <c r="D6" s="26"/>
      <c r="E6" s="26"/>
      <c r="F6" s="27"/>
      <c r="H6" s="17">
        <v>2</v>
      </c>
      <c r="I6" s="43"/>
      <c r="J6" s="41"/>
      <c r="K6" s="41"/>
      <c r="L6" s="42"/>
    </row>
    <row r="7" spans="2:18" x14ac:dyDescent="0.35">
      <c r="B7" s="17">
        <v>3</v>
      </c>
      <c r="C7" s="25"/>
      <c r="D7" s="26"/>
      <c r="E7" s="26"/>
      <c r="F7" s="27"/>
      <c r="H7" s="17">
        <v>3</v>
      </c>
      <c r="I7" s="43"/>
      <c r="J7" s="41"/>
      <c r="K7" s="41"/>
      <c r="L7" s="42"/>
    </row>
    <row r="8" spans="2:18" x14ac:dyDescent="0.35">
      <c r="B8" s="17">
        <v>4</v>
      </c>
      <c r="C8" s="25"/>
      <c r="D8" s="26"/>
      <c r="E8" s="26"/>
      <c r="F8" s="27"/>
      <c r="H8" s="17">
        <v>4</v>
      </c>
      <c r="I8" s="43"/>
      <c r="J8" s="41"/>
      <c r="K8" s="41"/>
      <c r="L8" s="42"/>
    </row>
    <row r="9" spans="2:18" x14ac:dyDescent="0.35">
      <c r="B9" s="17">
        <v>5</v>
      </c>
      <c r="C9" s="25"/>
      <c r="D9" s="26"/>
      <c r="E9" s="26"/>
      <c r="F9" s="27"/>
      <c r="H9" s="17">
        <v>5</v>
      </c>
      <c r="I9" s="43"/>
      <c r="J9" s="41"/>
      <c r="K9" s="41"/>
      <c r="L9" s="42"/>
    </row>
    <row r="10" spans="2:18" x14ac:dyDescent="0.35">
      <c r="B10" s="17">
        <v>6</v>
      </c>
      <c r="C10" s="25"/>
      <c r="D10" s="26"/>
      <c r="E10" s="26"/>
      <c r="F10" s="27" t="s">
        <v>71</v>
      </c>
      <c r="H10" s="17">
        <v>6</v>
      </c>
      <c r="I10" s="43"/>
      <c r="J10" s="41"/>
      <c r="K10" s="41"/>
      <c r="L10" s="42" t="s">
        <v>71</v>
      </c>
    </row>
    <row r="11" spans="2:18" x14ac:dyDescent="0.35">
      <c r="B11" s="17">
        <v>7</v>
      </c>
      <c r="C11" s="25"/>
      <c r="D11" s="26"/>
      <c r="E11" s="26"/>
      <c r="F11" s="38"/>
      <c r="H11" s="17">
        <v>7</v>
      </c>
      <c r="I11" s="18"/>
      <c r="J11" s="2"/>
      <c r="K11" s="2"/>
      <c r="L11" s="46"/>
    </row>
    <row r="12" spans="2:18" x14ac:dyDescent="0.35">
      <c r="B12" s="17">
        <v>8</v>
      </c>
      <c r="C12" s="25"/>
      <c r="D12" s="26"/>
      <c r="E12" s="26"/>
      <c r="F12" s="27"/>
      <c r="H12" s="17">
        <v>8</v>
      </c>
      <c r="I12" s="18"/>
      <c r="J12" s="2"/>
      <c r="K12" s="2"/>
      <c r="L12" s="19"/>
    </row>
    <row r="13" spans="2:18" x14ac:dyDescent="0.35">
      <c r="B13" s="17">
        <v>9</v>
      </c>
      <c r="C13" s="25"/>
      <c r="D13" s="26"/>
      <c r="E13" s="26"/>
      <c r="F13" s="42"/>
      <c r="H13" s="17">
        <v>9</v>
      </c>
      <c r="I13" s="18"/>
      <c r="J13" s="2"/>
      <c r="K13" s="2"/>
      <c r="L13" s="19"/>
    </row>
    <row r="14" spans="2:18" x14ac:dyDescent="0.35">
      <c r="B14" s="17">
        <v>10</v>
      </c>
      <c r="C14" s="25"/>
      <c r="D14" s="26"/>
      <c r="E14" s="26"/>
      <c r="F14" s="42"/>
      <c r="H14" s="17">
        <v>10</v>
      </c>
      <c r="I14" s="18"/>
      <c r="J14" s="2"/>
      <c r="K14" s="2"/>
      <c r="L14" s="19"/>
    </row>
    <row r="15" spans="2:18" x14ac:dyDescent="0.35">
      <c r="B15" s="17">
        <v>11</v>
      </c>
      <c r="C15" s="25"/>
      <c r="D15" s="26"/>
      <c r="E15" s="26"/>
      <c r="F15" s="42"/>
      <c r="H15" s="17">
        <v>11</v>
      </c>
      <c r="I15" s="18"/>
      <c r="J15" s="2"/>
      <c r="K15" s="2"/>
      <c r="L15" s="19"/>
    </row>
    <row r="16" spans="2:18" x14ac:dyDescent="0.35">
      <c r="B16" s="17">
        <v>12</v>
      </c>
      <c r="C16" s="25"/>
      <c r="D16" s="26"/>
      <c r="E16" s="26"/>
      <c r="F16" s="42"/>
      <c r="H16" s="17">
        <v>12</v>
      </c>
      <c r="I16" s="18"/>
      <c r="J16" s="2"/>
      <c r="K16" s="2"/>
      <c r="L16" s="19"/>
    </row>
    <row r="17" spans="2:12" x14ac:dyDescent="0.35">
      <c r="B17" s="17">
        <v>13</v>
      </c>
      <c r="C17" s="43"/>
      <c r="D17" s="41"/>
      <c r="E17" s="26"/>
      <c r="F17" s="42"/>
      <c r="H17" s="17">
        <v>13</v>
      </c>
      <c r="I17" s="18"/>
      <c r="J17" s="2"/>
      <c r="K17" s="2"/>
      <c r="L17" s="19"/>
    </row>
    <row r="18" spans="2:12" ht="15" thickBot="1" x14ac:dyDescent="0.4">
      <c r="B18" s="20">
        <v>14</v>
      </c>
      <c r="C18" s="21"/>
      <c r="D18" s="22"/>
      <c r="E18" s="22"/>
      <c r="F18" s="23"/>
      <c r="H18" s="20">
        <v>14</v>
      </c>
      <c r="I18" s="21"/>
      <c r="J18" s="22"/>
      <c r="K18" s="22"/>
      <c r="L18" s="23"/>
    </row>
  </sheetData>
  <mergeCells count="2">
    <mergeCell ref="B2:F3"/>
    <mergeCell ref="H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B4DD-F7F4-4A2A-854F-AB42A4A36BF8}">
  <dimension ref="B2:Q17"/>
  <sheetViews>
    <sheetView zoomScale="115" zoomScaleNormal="115" workbookViewId="0">
      <selection activeCell="E24" sqref="E24"/>
    </sheetView>
  </sheetViews>
  <sheetFormatPr baseColWidth="10" defaultColWidth="11.453125" defaultRowHeight="14.5" x14ac:dyDescent="0.35"/>
  <cols>
    <col min="1" max="16384" width="11.453125" style="1"/>
  </cols>
  <sheetData>
    <row r="2" spans="2:17" x14ac:dyDescent="0.35">
      <c r="B2" s="128" t="s">
        <v>53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30"/>
    </row>
    <row r="3" spans="2:17" x14ac:dyDescent="0.35">
      <c r="B3" s="3" t="s">
        <v>21</v>
      </c>
      <c r="C3" s="2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x14ac:dyDescent="0.35">
      <c r="B4" s="3" t="s">
        <v>22</v>
      </c>
      <c r="C4" s="2">
        <v>1</v>
      </c>
      <c r="D4" s="4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35">
      <c r="B5" s="3" t="s">
        <v>23</v>
      </c>
      <c r="C5" s="2"/>
      <c r="D5" s="4">
        <v>2</v>
      </c>
      <c r="E5" s="4">
        <v>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35">
      <c r="B6" s="3" t="s">
        <v>24</v>
      </c>
      <c r="C6" s="2">
        <v>1</v>
      </c>
      <c r="D6" s="4"/>
      <c r="E6" s="4">
        <v>3</v>
      </c>
      <c r="F6" s="4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x14ac:dyDescent="0.35">
      <c r="B7" s="3" t="s">
        <v>25</v>
      </c>
      <c r="C7" s="2"/>
      <c r="D7" s="4">
        <v>2</v>
      </c>
      <c r="E7" s="4"/>
      <c r="F7" s="4">
        <v>4</v>
      </c>
      <c r="G7" s="4">
        <v>5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x14ac:dyDescent="0.35">
      <c r="B8" s="3" t="s">
        <v>26</v>
      </c>
      <c r="C8" s="2"/>
      <c r="D8" s="4"/>
      <c r="E8" s="4">
        <v>3</v>
      </c>
      <c r="F8" s="4"/>
      <c r="G8" s="4">
        <v>5</v>
      </c>
      <c r="H8" s="4">
        <v>6</v>
      </c>
      <c r="I8" s="4"/>
      <c r="J8" s="4"/>
      <c r="K8" s="4"/>
      <c r="L8" s="4"/>
      <c r="M8" s="4"/>
      <c r="N8" s="4"/>
      <c r="O8" s="4"/>
      <c r="P8" s="4"/>
      <c r="Q8" s="4"/>
    </row>
    <row r="9" spans="2:17" x14ac:dyDescent="0.35">
      <c r="B9" s="3" t="s">
        <v>27</v>
      </c>
      <c r="C9" s="2"/>
      <c r="D9" s="4"/>
      <c r="E9" s="4"/>
      <c r="F9" s="4">
        <v>4</v>
      </c>
      <c r="G9" s="4"/>
      <c r="H9" s="4">
        <v>6</v>
      </c>
      <c r="I9" s="4">
        <v>7</v>
      </c>
      <c r="J9" s="4"/>
      <c r="K9" s="4"/>
      <c r="L9" s="4"/>
      <c r="M9" s="4"/>
      <c r="N9" s="4"/>
      <c r="O9" s="4"/>
      <c r="P9" s="4"/>
      <c r="Q9" s="4"/>
    </row>
    <row r="10" spans="2:17" x14ac:dyDescent="0.35">
      <c r="B10" s="3" t="s">
        <v>28</v>
      </c>
      <c r="C10" s="2">
        <v>1</v>
      </c>
      <c r="D10" s="4"/>
      <c r="E10" s="4"/>
      <c r="F10" s="4"/>
      <c r="G10" s="4">
        <v>5</v>
      </c>
      <c r="H10" s="4"/>
      <c r="I10" s="4">
        <v>7</v>
      </c>
      <c r="J10" s="4">
        <v>8</v>
      </c>
      <c r="K10" s="4"/>
      <c r="L10" s="4"/>
      <c r="M10" s="4"/>
      <c r="N10" s="4"/>
      <c r="O10" s="4"/>
      <c r="P10" s="4"/>
      <c r="Q10" s="4"/>
    </row>
    <row r="11" spans="2:17" x14ac:dyDescent="0.35">
      <c r="B11" s="3" t="s">
        <v>29</v>
      </c>
      <c r="C11" s="2"/>
      <c r="D11" s="4">
        <v>2</v>
      </c>
      <c r="E11" s="4"/>
      <c r="F11" s="4"/>
      <c r="G11" s="4"/>
      <c r="H11" s="4">
        <v>6</v>
      </c>
      <c r="I11" s="4"/>
      <c r="J11" s="4">
        <v>8</v>
      </c>
      <c r="K11" s="4">
        <v>9</v>
      </c>
      <c r="L11" s="4"/>
      <c r="M11" s="4"/>
      <c r="N11" s="4"/>
      <c r="O11" s="4"/>
      <c r="P11" s="4"/>
      <c r="Q11" s="4"/>
    </row>
    <row r="12" spans="2:17" x14ac:dyDescent="0.35">
      <c r="B12" s="3" t="s">
        <v>30</v>
      </c>
      <c r="C12" s="2"/>
      <c r="D12" s="4"/>
      <c r="E12" s="4">
        <v>3</v>
      </c>
      <c r="F12" s="4"/>
      <c r="G12" s="4"/>
      <c r="H12" s="4"/>
      <c r="I12" s="4">
        <v>7</v>
      </c>
      <c r="J12" s="4"/>
      <c r="K12" s="4">
        <v>9</v>
      </c>
      <c r="L12" s="4">
        <v>10</v>
      </c>
      <c r="M12" s="4"/>
      <c r="N12" s="4"/>
      <c r="O12" s="4"/>
      <c r="P12" s="4"/>
      <c r="Q12" s="4"/>
    </row>
    <row r="13" spans="2:17" x14ac:dyDescent="0.35">
      <c r="B13" s="3" t="s">
        <v>31</v>
      </c>
      <c r="C13" s="2"/>
      <c r="D13" s="4"/>
      <c r="E13" s="4"/>
      <c r="F13" s="4">
        <v>4</v>
      </c>
      <c r="G13" s="4"/>
      <c r="H13" s="4"/>
      <c r="I13" s="4"/>
      <c r="J13" s="4">
        <v>8</v>
      </c>
      <c r="K13" s="4"/>
      <c r="L13" s="4">
        <v>10</v>
      </c>
      <c r="M13" s="4">
        <v>11</v>
      </c>
      <c r="N13" s="4"/>
      <c r="O13" s="4"/>
      <c r="P13" s="4"/>
      <c r="Q13" s="4"/>
    </row>
    <row r="14" spans="2:17" x14ac:dyDescent="0.35">
      <c r="B14" s="3" t="s">
        <v>32</v>
      </c>
      <c r="C14" s="2"/>
      <c r="D14" s="4"/>
      <c r="E14" s="4"/>
      <c r="F14" s="4"/>
      <c r="G14" s="4">
        <v>5</v>
      </c>
      <c r="H14" s="4"/>
      <c r="I14" s="4"/>
      <c r="J14" s="4"/>
      <c r="K14" s="4">
        <v>9</v>
      </c>
      <c r="L14" s="4"/>
      <c r="M14" s="4">
        <v>11</v>
      </c>
      <c r="N14" s="4">
        <v>12</v>
      </c>
      <c r="O14" s="4"/>
      <c r="P14" s="4"/>
      <c r="Q14" s="4"/>
    </row>
    <row r="15" spans="2:17" x14ac:dyDescent="0.35">
      <c r="B15" s="3" t="s">
        <v>33</v>
      </c>
      <c r="C15" s="2">
        <v>1</v>
      </c>
      <c r="D15" s="4"/>
      <c r="E15" s="4"/>
      <c r="F15" s="4"/>
      <c r="G15" s="4"/>
      <c r="H15" s="4">
        <v>6</v>
      </c>
      <c r="I15" s="4"/>
      <c r="J15" s="4"/>
      <c r="K15" s="4"/>
      <c r="L15" s="4">
        <v>10</v>
      </c>
      <c r="M15" s="4"/>
      <c r="N15" s="4">
        <v>12</v>
      </c>
      <c r="O15" s="4">
        <v>13</v>
      </c>
      <c r="P15" s="4"/>
      <c r="Q15" s="4"/>
    </row>
    <row r="16" spans="2:17" x14ac:dyDescent="0.35">
      <c r="B16" s="3" t="s">
        <v>34</v>
      </c>
      <c r="C16" s="2"/>
      <c r="D16" s="4">
        <v>2</v>
      </c>
      <c r="E16" s="4"/>
      <c r="F16" s="4">
        <v>4</v>
      </c>
      <c r="G16" s="4"/>
      <c r="H16" s="4"/>
      <c r="I16" s="4">
        <v>7</v>
      </c>
      <c r="J16" s="4"/>
      <c r="K16" s="4"/>
      <c r="L16" s="4"/>
      <c r="M16" s="4">
        <v>11</v>
      </c>
      <c r="N16" s="4"/>
      <c r="O16" s="4">
        <v>13</v>
      </c>
      <c r="P16" s="4">
        <v>14</v>
      </c>
      <c r="Q16" s="4"/>
    </row>
    <row r="17" spans="2:3" x14ac:dyDescent="0.35">
      <c r="B17" s="5"/>
      <c r="C17" s="5"/>
    </row>
  </sheetData>
  <mergeCells count="1">
    <mergeCell ref="B2:Q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9AB2-D791-4B39-AC5C-775A72418923}">
  <dimension ref="A1:H15"/>
  <sheetViews>
    <sheetView workbookViewId="0">
      <selection activeCell="G4" sqref="G4"/>
    </sheetView>
  </sheetViews>
  <sheetFormatPr baseColWidth="10" defaultRowHeight="14.5" x14ac:dyDescent="0.35"/>
  <sheetData>
    <row r="1" spans="1:8" ht="16" x14ac:dyDescent="0.4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/>
    </row>
    <row r="2" spans="1:8" ht="16" x14ac:dyDescent="0.4">
      <c r="A2" s="6" t="s">
        <v>42</v>
      </c>
      <c r="B2" s="6">
        <v>8</v>
      </c>
      <c r="C2" s="6">
        <v>7</v>
      </c>
      <c r="D2" s="6">
        <v>6</v>
      </c>
      <c r="E2" s="6">
        <v>8</v>
      </c>
      <c r="F2" s="6">
        <v>7</v>
      </c>
      <c r="G2" s="6">
        <v>5</v>
      </c>
      <c r="H2" s="6">
        <f>SUM(B2:G2)</f>
        <v>41</v>
      </c>
    </row>
    <row r="3" spans="1:8" ht="16" x14ac:dyDescent="0.4">
      <c r="A3" s="6" t="s">
        <v>43</v>
      </c>
      <c r="B3" s="6">
        <v>6</v>
      </c>
      <c r="C3" s="6">
        <v>5.25</v>
      </c>
      <c r="D3" s="6">
        <v>4.25</v>
      </c>
      <c r="E3" s="6">
        <v>5.5</v>
      </c>
      <c r="F3" s="131">
        <v>5.5</v>
      </c>
      <c r="G3" s="6">
        <v>5.5</v>
      </c>
      <c r="H3" s="6"/>
    </row>
    <row r="4" spans="1:8" x14ac:dyDescent="0.35">
      <c r="A4" s="7" t="s">
        <v>44</v>
      </c>
      <c r="B4" s="7">
        <f t="shared" ref="B4:G4" si="0">B2*B3</f>
        <v>48</v>
      </c>
      <c r="C4" s="7">
        <f t="shared" si="0"/>
        <v>36.75</v>
      </c>
      <c r="D4" s="7">
        <f t="shared" si="0"/>
        <v>25.5</v>
      </c>
      <c r="E4" s="7">
        <f t="shared" si="0"/>
        <v>44</v>
      </c>
      <c r="F4" s="7">
        <f t="shared" si="0"/>
        <v>38.5</v>
      </c>
      <c r="G4" s="7">
        <f>G2*G3</f>
        <v>27.5</v>
      </c>
      <c r="H4" s="7">
        <f>SUM(B4:G4)</f>
        <v>220.25</v>
      </c>
    </row>
    <row r="6" spans="1:8" ht="19.5" x14ac:dyDescent="0.45">
      <c r="A6" s="8"/>
      <c r="B6" s="8"/>
      <c r="C6" s="8"/>
      <c r="D6" s="8"/>
      <c r="E6" s="8"/>
      <c r="F6" s="8"/>
      <c r="G6" s="6" t="s">
        <v>45</v>
      </c>
      <c r="H6" s="9">
        <f>H4/H2</f>
        <v>5.3719512195121952</v>
      </c>
    </row>
    <row r="8" spans="1:8" ht="16" x14ac:dyDescent="0.4">
      <c r="A8" s="6" t="s">
        <v>35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/>
      <c r="H8" s="6"/>
    </row>
    <row r="9" spans="1:8" ht="16" x14ac:dyDescent="0.4">
      <c r="A9" s="6" t="s">
        <v>42</v>
      </c>
      <c r="B9" s="6">
        <v>6</v>
      </c>
      <c r="C9" s="6">
        <v>4</v>
      </c>
      <c r="D9" s="6">
        <v>4</v>
      </c>
      <c r="E9" s="6">
        <v>4</v>
      </c>
      <c r="F9" s="6">
        <v>2</v>
      </c>
      <c r="G9" s="6">
        <f>SUM(B9:F9)</f>
        <v>20</v>
      </c>
      <c r="H9" s="6"/>
    </row>
    <row r="10" spans="1:8" ht="16" x14ac:dyDescent="0.4">
      <c r="A10" s="6" t="s">
        <v>43</v>
      </c>
      <c r="B10" s="6">
        <v>4.25</v>
      </c>
      <c r="C10" s="6">
        <v>4.75</v>
      </c>
      <c r="D10" s="6">
        <v>4</v>
      </c>
      <c r="E10" s="6">
        <v>3.25</v>
      </c>
      <c r="F10" s="6">
        <v>5.25</v>
      </c>
      <c r="G10" s="6"/>
      <c r="H10" s="6"/>
    </row>
    <row r="11" spans="1:8" x14ac:dyDescent="0.35">
      <c r="A11" s="7" t="s">
        <v>44</v>
      </c>
      <c r="B11" s="7">
        <f t="shared" ref="B11:F11" si="1">B9*B10</f>
        <v>25.5</v>
      </c>
      <c r="C11" s="7">
        <f t="shared" si="1"/>
        <v>19</v>
      </c>
      <c r="D11" s="7">
        <f t="shared" si="1"/>
        <v>16</v>
      </c>
      <c r="E11" s="7">
        <f t="shared" si="1"/>
        <v>13</v>
      </c>
      <c r="F11" s="7">
        <f t="shared" si="1"/>
        <v>10.5</v>
      </c>
      <c r="G11" s="7">
        <f>SUM(B11:F11)</f>
        <v>84</v>
      </c>
      <c r="H11" s="7"/>
    </row>
    <row r="13" spans="1:8" ht="19.5" x14ac:dyDescent="0.45">
      <c r="A13" s="8"/>
      <c r="B13" s="8"/>
      <c r="C13" s="8"/>
      <c r="D13" s="8"/>
      <c r="E13" s="8"/>
      <c r="F13" s="8"/>
      <c r="G13" s="6" t="s">
        <v>51</v>
      </c>
      <c r="H13" s="9">
        <f>G11/G9</f>
        <v>4.2</v>
      </c>
    </row>
    <row r="15" spans="1:8" ht="19.5" x14ac:dyDescent="0.45">
      <c r="G15" s="10" t="s">
        <v>52</v>
      </c>
      <c r="H15" s="9">
        <f>(H4+G11)/(H2+G9)</f>
        <v>4.9877049180327866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3228-57D0-42A2-8574-2F5662BD37B3}">
  <dimension ref="B1:N24"/>
  <sheetViews>
    <sheetView tabSelected="1" workbookViewId="0">
      <selection activeCell="F32" sqref="F32"/>
    </sheetView>
  </sheetViews>
  <sheetFormatPr baseColWidth="10" defaultRowHeight="14.5" x14ac:dyDescent="0.35"/>
  <cols>
    <col min="2" max="2" width="19" customWidth="1"/>
    <col min="3" max="3" width="17.36328125" customWidth="1"/>
    <col min="4" max="4" width="19.54296875" customWidth="1"/>
    <col min="5" max="5" width="19.1796875" customWidth="1"/>
    <col min="6" max="6" width="17.453125" customWidth="1"/>
    <col min="7" max="7" width="18.81640625" customWidth="1"/>
    <col min="8" max="8" width="18.7265625" customWidth="1"/>
    <col min="9" max="9" width="11.81640625" customWidth="1"/>
    <col min="10" max="10" width="17.36328125" customWidth="1"/>
    <col min="11" max="11" width="17" customWidth="1"/>
    <col min="13" max="13" width="10.81640625" customWidth="1"/>
    <col min="14" max="14" width="16.81640625" customWidth="1"/>
  </cols>
  <sheetData>
    <row r="1" spans="2:14" ht="15" thickBot="1" x14ac:dyDescent="0.4"/>
    <row r="2" spans="2:14" ht="15" thickBot="1" x14ac:dyDescent="0.4">
      <c r="B2" s="142" t="s">
        <v>82</v>
      </c>
      <c r="C2" s="143"/>
      <c r="D2" s="143"/>
      <c r="E2" s="143"/>
      <c r="F2" s="143"/>
      <c r="G2" s="143"/>
      <c r="H2" s="143"/>
      <c r="I2" s="144"/>
      <c r="K2" s="132" t="s">
        <v>78</v>
      </c>
      <c r="L2" s="134" t="s">
        <v>79</v>
      </c>
      <c r="M2" s="133" t="s">
        <v>80</v>
      </c>
      <c r="N2" s="135" t="s">
        <v>81</v>
      </c>
    </row>
    <row r="3" spans="2:14" x14ac:dyDescent="0.35">
      <c r="B3" s="145"/>
      <c r="C3" s="141" t="s">
        <v>1</v>
      </c>
      <c r="D3" s="141" t="s">
        <v>2</v>
      </c>
      <c r="E3" s="141" t="s">
        <v>3</v>
      </c>
      <c r="F3" s="141" t="s">
        <v>4</v>
      </c>
      <c r="G3" s="141" t="s">
        <v>5</v>
      </c>
      <c r="H3" s="141" t="s">
        <v>66</v>
      </c>
      <c r="I3" s="146" t="s">
        <v>67</v>
      </c>
    </row>
    <row r="4" spans="2:14" x14ac:dyDescent="0.35">
      <c r="B4" s="18">
        <v>1</v>
      </c>
      <c r="C4" s="136"/>
      <c r="D4" s="136"/>
      <c r="E4" s="137"/>
      <c r="F4" s="137" t="s">
        <v>77</v>
      </c>
      <c r="G4" s="138"/>
      <c r="H4" s="137"/>
      <c r="I4" s="147"/>
    </row>
    <row r="5" spans="2:14" x14ac:dyDescent="0.35">
      <c r="B5" s="18">
        <v>2</v>
      </c>
      <c r="C5" s="137"/>
      <c r="D5" s="139"/>
      <c r="E5" s="139"/>
      <c r="F5" s="139"/>
      <c r="G5" s="138"/>
      <c r="H5" s="139"/>
      <c r="I5" s="27" t="s">
        <v>77</v>
      </c>
    </row>
    <row r="6" spans="2:14" x14ac:dyDescent="0.35">
      <c r="B6" s="18">
        <v>3</v>
      </c>
      <c r="C6" s="26"/>
      <c r="D6" s="26"/>
      <c r="E6" s="26"/>
      <c r="F6" s="26"/>
      <c r="G6" s="138"/>
      <c r="H6" s="137"/>
      <c r="I6" s="147"/>
    </row>
    <row r="7" spans="2:14" x14ac:dyDescent="0.35">
      <c r="B7" s="18">
        <v>4</v>
      </c>
      <c r="C7" s="137"/>
      <c r="D7" s="140" t="s">
        <v>74</v>
      </c>
      <c r="E7" s="139"/>
      <c r="F7" s="139"/>
      <c r="G7" s="140" t="s">
        <v>75</v>
      </c>
      <c r="H7" s="26"/>
      <c r="I7" s="27"/>
    </row>
    <row r="8" spans="2:14" ht="15" thickBot="1" x14ac:dyDescent="0.4">
      <c r="B8" s="21">
        <v>5</v>
      </c>
      <c r="C8" s="148" t="s">
        <v>76</v>
      </c>
      <c r="D8" s="22"/>
      <c r="E8" s="22"/>
      <c r="F8" s="22"/>
      <c r="G8" s="22"/>
      <c r="H8" s="22"/>
      <c r="I8" s="23"/>
    </row>
    <row r="9" spans="2:14" ht="15" thickBot="1" x14ac:dyDescent="0.4"/>
    <row r="10" spans="2:14" x14ac:dyDescent="0.35">
      <c r="B10" s="160" t="s">
        <v>74</v>
      </c>
      <c r="C10" s="161"/>
      <c r="D10" s="162"/>
      <c r="E10" s="149"/>
      <c r="F10" s="160" t="s">
        <v>83</v>
      </c>
      <c r="G10" s="161"/>
      <c r="H10" s="162"/>
      <c r="J10" s="160" t="s">
        <v>75</v>
      </c>
      <c r="K10" s="162"/>
      <c r="L10" s="163"/>
    </row>
    <row r="11" spans="2:14" x14ac:dyDescent="0.35">
      <c r="B11" s="165" t="s">
        <v>84</v>
      </c>
      <c r="C11" s="166" t="s">
        <v>85</v>
      </c>
      <c r="D11" s="167" t="s">
        <v>86</v>
      </c>
      <c r="E11" s="149"/>
      <c r="F11" s="157" t="s">
        <v>84</v>
      </c>
      <c r="G11" s="158" t="s">
        <v>85</v>
      </c>
      <c r="H11" s="159" t="s">
        <v>115</v>
      </c>
      <c r="J11" s="155" t="s">
        <v>84</v>
      </c>
      <c r="K11" s="152" t="s">
        <v>85</v>
      </c>
      <c r="L11" s="149"/>
    </row>
    <row r="12" spans="2:14" x14ac:dyDescent="0.35">
      <c r="B12" s="168" t="s">
        <v>87</v>
      </c>
      <c r="C12" s="169"/>
      <c r="D12" s="164" t="s">
        <v>116</v>
      </c>
      <c r="E12" s="149"/>
      <c r="F12" s="155" t="s">
        <v>97</v>
      </c>
      <c r="G12" s="150"/>
      <c r="H12" s="152"/>
      <c r="J12" s="155" t="s">
        <v>105</v>
      </c>
      <c r="K12" s="152"/>
      <c r="L12" s="149"/>
    </row>
    <row r="13" spans="2:14" x14ac:dyDescent="0.35">
      <c r="B13" s="168" t="s">
        <v>88</v>
      </c>
      <c r="C13" s="169"/>
      <c r="D13" s="164" t="s">
        <v>117</v>
      </c>
      <c r="E13" s="149"/>
      <c r="F13" s="155" t="s">
        <v>98</v>
      </c>
      <c r="G13" s="150"/>
      <c r="H13" s="152"/>
      <c r="J13" s="155" t="s">
        <v>106</v>
      </c>
      <c r="K13" s="152"/>
      <c r="L13" s="149"/>
    </row>
    <row r="14" spans="2:14" x14ac:dyDescent="0.35">
      <c r="B14" s="168" t="s">
        <v>89</v>
      </c>
      <c r="C14" s="169"/>
      <c r="D14" s="164" t="s">
        <v>118</v>
      </c>
      <c r="E14" s="149"/>
      <c r="F14" s="155" t="s">
        <v>99</v>
      </c>
      <c r="G14" s="150"/>
      <c r="H14" s="152"/>
      <c r="J14" s="155" t="s">
        <v>107</v>
      </c>
      <c r="K14" s="152"/>
      <c r="L14" s="149"/>
    </row>
    <row r="15" spans="2:14" x14ac:dyDescent="0.35">
      <c r="B15" s="168" t="s">
        <v>90</v>
      </c>
      <c r="C15" s="169"/>
      <c r="D15" s="164" t="s">
        <v>119</v>
      </c>
      <c r="E15" s="149"/>
      <c r="F15" s="155" t="s">
        <v>100</v>
      </c>
      <c r="G15" s="150"/>
      <c r="H15" s="152"/>
      <c r="J15" s="155" t="s">
        <v>108</v>
      </c>
      <c r="K15" s="152"/>
      <c r="L15" s="149"/>
    </row>
    <row r="16" spans="2:14" x14ac:dyDescent="0.35">
      <c r="B16" s="168" t="s">
        <v>91</v>
      </c>
      <c r="C16" s="169"/>
      <c r="D16" s="164" t="s">
        <v>120</v>
      </c>
      <c r="E16" s="149"/>
      <c r="F16" s="155" t="s">
        <v>101</v>
      </c>
      <c r="G16" s="150"/>
      <c r="H16" s="152"/>
      <c r="J16" s="155" t="s">
        <v>109</v>
      </c>
      <c r="K16" s="152"/>
      <c r="L16" s="149"/>
    </row>
    <row r="17" spans="2:12" x14ac:dyDescent="0.35">
      <c r="B17" s="168" t="s">
        <v>92</v>
      </c>
      <c r="C17" s="169"/>
      <c r="D17" s="164" t="s">
        <v>121</v>
      </c>
      <c r="E17" s="149"/>
      <c r="F17" s="155" t="s">
        <v>102</v>
      </c>
      <c r="G17" s="150"/>
      <c r="H17" s="152"/>
      <c r="J17" s="155" t="s">
        <v>110</v>
      </c>
      <c r="K17" s="152"/>
      <c r="L17" s="149"/>
    </row>
    <row r="18" spans="2:12" x14ac:dyDescent="0.35">
      <c r="B18" s="168" t="s">
        <v>93</v>
      </c>
      <c r="C18" s="169"/>
      <c r="D18" s="164" t="s">
        <v>122</v>
      </c>
      <c r="E18" s="149"/>
      <c r="F18" s="155" t="s">
        <v>103</v>
      </c>
      <c r="G18" s="150"/>
      <c r="H18" s="152"/>
      <c r="J18" s="155" t="s">
        <v>111</v>
      </c>
      <c r="K18" s="152"/>
      <c r="L18" s="149"/>
    </row>
    <row r="19" spans="2:12" ht="15" thickBot="1" x14ac:dyDescent="0.4">
      <c r="B19" s="168" t="s">
        <v>94</v>
      </c>
      <c r="C19" s="169"/>
      <c r="D19" s="164" t="s">
        <v>123</v>
      </c>
      <c r="E19" s="149"/>
      <c r="F19" s="156" t="s">
        <v>104</v>
      </c>
      <c r="G19" s="153"/>
      <c r="H19" s="154"/>
      <c r="J19" s="155" t="s">
        <v>112</v>
      </c>
      <c r="K19" s="152"/>
      <c r="L19" s="149"/>
    </row>
    <row r="20" spans="2:12" x14ac:dyDescent="0.35">
      <c r="B20" s="168" t="s">
        <v>95</v>
      </c>
      <c r="C20" s="169"/>
      <c r="D20" s="164" t="s">
        <v>124</v>
      </c>
      <c r="E20" s="149"/>
      <c r="J20" s="155" t="s">
        <v>113</v>
      </c>
      <c r="K20" s="152"/>
      <c r="L20" s="149"/>
    </row>
    <row r="21" spans="2:12" ht="15" thickBot="1" x14ac:dyDescent="0.4">
      <c r="B21" s="170" t="s">
        <v>96</v>
      </c>
      <c r="C21" s="171"/>
      <c r="D21" s="172"/>
      <c r="E21" s="149"/>
      <c r="J21" s="156" t="s">
        <v>114</v>
      </c>
      <c r="K21" s="154"/>
      <c r="L21" s="149"/>
    </row>
    <row r="22" spans="2:12" x14ac:dyDescent="0.35">
      <c r="B22" s="151"/>
      <c r="C22" s="149"/>
      <c r="D22" s="149"/>
      <c r="E22" s="149"/>
    </row>
    <row r="23" spans="2:12" x14ac:dyDescent="0.35">
      <c r="B23" s="151"/>
      <c r="C23" s="149"/>
      <c r="D23" s="149"/>
      <c r="E23" s="149"/>
    </row>
    <row r="24" spans="2:12" x14ac:dyDescent="0.35">
      <c r="B24" s="151"/>
      <c r="C24" s="149"/>
      <c r="D24" s="149"/>
      <c r="E24" s="149"/>
    </row>
  </sheetData>
  <mergeCells count="4">
    <mergeCell ref="B2:I2"/>
    <mergeCell ref="B10:D10"/>
    <mergeCell ref="F10:H10"/>
    <mergeCell ref="J10:K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4609942941E4E981C5D27F6D7A9DC" ma:contentTypeVersion="1" ma:contentTypeDescription="Crée un document." ma:contentTypeScope="" ma:versionID="4597dffc764cd7b55ad792ce8173831c">
  <xsd:schema xmlns:xsd="http://www.w3.org/2001/XMLSchema" xmlns:xs="http://www.w3.org/2001/XMLSchema" xmlns:p="http://schemas.microsoft.com/office/2006/metadata/properties" xmlns:ns3="b3091d91-262c-4b4d-a8f9-932d1cbe2b91" targetNamespace="http://schemas.microsoft.com/office/2006/metadata/properties" ma:root="true" ma:fieldsID="3ecb340ce019ac5b539e59cb4c1843ad" ns3:_="">
    <xsd:import namespace="b3091d91-262c-4b4d-a8f9-932d1cbe2b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91d91-262c-4b4d-a8f9-932d1cbe2b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EB249-800D-4261-ACCF-BFA682195B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7AE240-17E8-4314-A0E0-261363D23F4B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b3091d91-262c-4b4d-a8f9-932d1cbe2b9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2CB484B-5731-47BB-8745-019C8C7EC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91d91-262c-4b4d-a8f9-932d1cbe2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Emploi tu temps</vt:lpstr>
      <vt:lpstr>Séries</vt:lpstr>
      <vt:lpstr>Révisions a long terme</vt:lpstr>
      <vt:lpstr>Notes</vt:lpstr>
      <vt:lpstr>Planning révision</vt:lpstr>
      <vt:lpstr>'Emploi tu temps'!Zone_d_impression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Gabino</dc:creator>
  <cp:lastModifiedBy>Anthony Gabino</cp:lastModifiedBy>
  <cp:lastPrinted>2026-03-07T03:07:39Z</cp:lastPrinted>
  <dcterms:created xsi:type="dcterms:W3CDTF">2024-08-19T10:33:29Z</dcterms:created>
  <dcterms:modified xsi:type="dcterms:W3CDTF">2026-05-26T01:06:56Z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0x0101007894609942941E4E981C5D27F6D7A9DC</vt:lpwstr>
  </property>
</Properties>
</file>